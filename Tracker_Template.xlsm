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osch-my.sharepoint.com/personal/mwi5cob_bosch_com/Documents/Desktop/"/>
    </mc:Choice>
  </mc:AlternateContent>
  <xr:revisionPtr revIDLastSave="503" documentId="8_{71D784EA-D082-4671-BFBA-8C9C158D69C9}" xr6:coauthVersionLast="46" xr6:coauthVersionMax="46" xr10:uidLastSave="{43345D13-AEAE-48D5-9E52-09646B4E1341}"/>
  <bookViews>
    <workbookView xWindow="-120" yWindow="480" windowWidth="29040" windowHeight="15840" activeTab="1" xr2:uid="{00000000-000D-0000-FFFF-FFFF00000000}"/>
  </bookViews>
  <sheets>
    <sheet name="Sheet2" sheetId="4" r:id="rId1"/>
    <sheet name="Tracker" sheetId="1" r:id="rId2"/>
    <sheet name="Daily Attendance" sheetId="3" r:id="rId3"/>
    <sheet name="Setting" sheetId="2" r:id="rId4"/>
  </sheets>
  <functionGroups builtInGroupCount="19"/>
  <definedNames>
    <definedName name="Leave">Setting!$C$72:$C$75</definedName>
    <definedName name="NonProject">Setting!$C$45:$C$48</definedName>
    <definedName name="PSGIEIC">Setting!$C$12:$C$22</definedName>
    <definedName name="PSGIEPM">Setting!$C$34:$C$44</definedName>
    <definedName name="PSSDA">Setting!$C$3:$C$11</definedName>
    <definedName name="PSSDETR">Setting!$C$23:$C$33</definedName>
    <definedName name="XCDAECV">Setting!$C$61:$C$71</definedName>
    <definedName name="XCDAEDM">Setting!$C$50:$C$60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5" i="2" l="1"/>
  <c r="Q4" i="1"/>
  <c r="H4" i="1"/>
  <c r="M4" i="1"/>
  <c r="O4" i="1"/>
  <c r="P4" i="1"/>
  <c r="L14" i="2"/>
  <c r="U4" i="1" a="1"/>
  <c r="U4" i="1" l="1"/>
  <c r="R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<sst xmlns="http://schemas.openxmlformats.org/spreadsheetml/2006/main" count="282" uniqueCount="125">
  <si>
    <t>Date</t>
  </si>
  <si>
    <t>Start Time</t>
  </si>
  <si>
    <t>End Time</t>
  </si>
  <si>
    <t>Duration</t>
  </si>
  <si>
    <t>S.NO</t>
  </si>
  <si>
    <t>Task</t>
  </si>
  <si>
    <t>Task Detail</t>
  </si>
  <si>
    <t>Sub Task</t>
  </si>
  <si>
    <t>Sub task</t>
  </si>
  <si>
    <t>SLA Status</t>
  </si>
  <si>
    <t>KPI</t>
  </si>
  <si>
    <t>Customer</t>
  </si>
  <si>
    <t>SLA</t>
  </si>
  <si>
    <t>Customer Meeting PS/SDA</t>
  </si>
  <si>
    <t>Internal Meeting -PS/SDA</t>
  </si>
  <si>
    <t>Creation of Sample Order PS/SDA</t>
  </si>
  <si>
    <t>Creation of PPAR PS/SDA</t>
  </si>
  <si>
    <t>Customer KT/OJT PS/SDA</t>
  </si>
  <si>
    <t>Internal KT/OJT PS/SDA</t>
  </si>
  <si>
    <t>MSR PS/SDA</t>
  </si>
  <si>
    <t>Process Documentation PS/SDA</t>
  </si>
  <si>
    <t>Quality PS/SDA</t>
  </si>
  <si>
    <t>Productive</t>
  </si>
  <si>
    <t>non productive</t>
  </si>
  <si>
    <t>Creation of MAE Order PS-GI/EIC</t>
  </si>
  <si>
    <t>Creation of MAE order via easyRFQ/PSG PS-GI/EIC</t>
  </si>
  <si>
    <t>Creation of Project/MM orde (Freetext &amp; VCM) PS-GI/EIC</t>
  </si>
  <si>
    <t>Creation of Project/MM orde (easyRFQ/PSG) PS-GI/EIC</t>
  </si>
  <si>
    <t>Customer Meeting PS-GI/EIC</t>
  </si>
  <si>
    <t>Internal Meeting PS-GI/EIC</t>
  </si>
  <si>
    <t>Customer KT/OJT PS-GI/EIC</t>
  </si>
  <si>
    <t>Internal KT/OJT PS-GI/EIC</t>
  </si>
  <si>
    <t>MSR PS-GI/EIC</t>
  </si>
  <si>
    <t>Process Documentation PS-GI/EIC</t>
  </si>
  <si>
    <t>Quality PS-GI/EIC</t>
  </si>
  <si>
    <t>PS-SD/ETR</t>
  </si>
  <si>
    <t>Creation of MAE Order PS-SD/ETR</t>
  </si>
  <si>
    <t>Creation of MAE order via easyRFQ/PSG PS-SD/ETR</t>
  </si>
  <si>
    <t>Creation of Project/MM orde (Freetext &amp; VCM) PS-SD/ETR</t>
  </si>
  <si>
    <t>Creation of Project/MM orde (easyRFQ/PSG) PS-SD/ETR</t>
  </si>
  <si>
    <t>Customer Meeting PS-SD/ETR</t>
  </si>
  <si>
    <t>Internal Meeting PS-SD/ETR</t>
  </si>
  <si>
    <t>Customer KT/OJT PS-SD/ETR</t>
  </si>
  <si>
    <t>Internal KT/OJT PS-SD/ETR</t>
  </si>
  <si>
    <t>MSR PS-SD/ETR</t>
  </si>
  <si>
    <t>Process Documentation PS-SD/ETR</t>
  </si>
  <si>
    <t>Quality PS-SD/ETR</t>
  </si>
  <si>
    <t>Creation of MAE Order PS-GI/EPM</t>
  </si>
  <si>
    <t>Creation of MAE order via easyRFQ/PSG PS-GI/EPM</t>
  </si>
  <si>
    <t>Creation of Project/MM orde (Freetext &amp; VCM) PS-GI/EPM</t>
  </si>
  <si>
    <t>Creation of Project/MM orde (easyRFQ/PSG) PS-GI/EPM</t>
  </si>
  <si>
    <t>Customer Meeting PS-GI/EPM</t>
  </si>
  <si>
    <t>Internal Meeting PS-GI/EPM</t>
  </si>
  <si>
    <t>Customer KT/OJT PS-GI/EPM</t>
  </si>
  <si>
    <t>Internal KT/OJT PS-GI/EPM</t>
  </si>
  <si>
    <t>MSR PS-GI/EPM</t>
  </si>
  <si>
    <t>Process Documentation PS-GI/EPM</t>
  </si>
  <si>
    <t>Quality PS-GI/EPM</t>
  </si>
  <si>
    <t>Daily team Meeting</t>
  </si>
  <si>
    <t xml:space="preserve">Tracker and Prime </t>
  </si>
  <si>
    <t>Performance review</t>
  </si>
  <si>
    <t>Internal Training</t>
  </si>
  <si>
    <t>Project/ Non Project</t>
  </si>
  <si>
    <t>PSSDA</t>
  </si>
  <si>
    <t>Unit measurment</t>
  </si>
  <si>
    <t>PSGIEIC</t>
  </si>
  <si>
    <t>PSSDETR</t>
  </si>
  <si>
    <t>PSGIEPM</t>
  </si>
  <si>
    <t>NonProject</t>
  </si>
  <si>
    <t>XCDAEDM</t>
  </si>
  <si>
    <t>Creation of MAE Order XC-DA/EDM</t>
  </si>
  <si>
    <t>Creation of MAE order via easyRFQ/PSG XC-DA/EDM</t>
  </si>
  <si>
    <t>Creation of Project/MM orde (Freetext &amp; VCM) XC-DA/EDM</t>
  </si>
  <si>
    <t>Creation of Project/MM orde (easyRFQ/PSG) XC-DA/EDM</t>
  </si>
  <si>
    <t>Customer Meeting XC-DA/EDM</t>
  </si>
  <si>
    <t>Internal Meeting XC-DA/EDM</t>
  </si>
  <si>
    <t>Customer KT/OJT XC-DA/EDM</t>
  </si>
  <si>
    <t>Internal KT/OJT XC-DA/EDM</t>
  </si>
  <si>
    <t>MSR XC-DA/EDM</t>
  </si>
  <si>
    <t>Process Documentation XC-DA/EDM</t>
  </si>
  <si>
    <t>Quality XC-DA/EDM</t>
  </si>
  <si>
    <t>XCDAECV</t>
  </si>
  <si>
    <t>Creation of MAE Order XC-DA/ECV</t>
  </si>
  <si>
    <t>Creation of MAE order via easyRFQ/PSG XC-DA/ECV</t>
  </si>
  <si>
    <t>Creation of Project/MM orde (Freetext &amp; VCM) XC-DA/ECV</t>
  </si>
  <si>
    <t>Creation of Project/MM orde (easyRFQ/PSG) XC-DA/ECV</t>
  </si>
  <si>
    <t>Customer Meeting XC-DA/ECV</t>
  </si>
  <si>
    <t>Internal Meeting XC-DA/ECV</t>
  </si>
  <si>
    <t>Customer KT/OJT XC-DA/ECV</t>
  </si>
  <si>
    <t>Internal KT/OJT XC-DA/ECV</t>
  </si>
  <si>
    <t>MSR XC-DA/ECV</t>
  </si>
  <si>
    <t>Process Documentation XC-DA/ECV</t>
  </si>
  <si>
    <t>Quality XC-DA/ECV</t>
  </si>
  <si>
    <t>Project Tracking</t>
  </si>
  <si>
    <t>Request received Date + Time</t>
  </si>
  <si>
    <t>Number of Records</t>
  </si>
  <si>
    <t>Accepted Date &amp; Time</t>
  </si>
  <si>
    <t>Commited Date &amp; Time</t>
  </si>
  <si>
    <t>Delivered Date &amp; Time</t>
  </si>
  <si>
    <t>SLA Met?</t>
  </si>
  <si>
    <t>Shift Tiiming</t>
  </si>
  <si>
    <t>Early Morning</t>
  </si>
  <si>
    <t>Regular</t>
  </si>
  <si>
    <t>Afternoon</t>
  </si>
  <si>
    <t>Night Shift</t>
  </si>
  <si>
    <t>Leave</t>
  </si>
  <si>
    <t>General Leave</t>
  </si>
  <si>
    <t>Earned Leave</t>
  </si>
  <si>
    <t>Festival holiday</t>
  </si>
  <si>
    <t>Compensatory Off</t>
  </si>
  <si>
    <t>Column Labels</t>
  </si>
  <si>
    <t>Grand Total</t>
  </si>
  <si>
    <t>Row Labels</t>
  </si>
  <si>
    <t>Sum of Duration</t>
  </si>
  <si>
    <t>Shift Timing</t>
  </si>
  <si>
    <t>Cab Availed</t>
  </si>
  <si>
    <t>Supporting Days</t>
  </si>
  <si>
    <t>Additional Comments</t>
  </si>
  <si>
    <t xml:space="preserve"> </t>
  </si>
  <si>
    <t>hours</t>
  </si>
  <si>
    <t>US Shift</t>
  </si>
  <si>
    <t>Shift Start</t>
  </si>
  <si>
    <t>Shift End</t>
  </si>
  <si>
    <t>Agreed Service timing (IST)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</si>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</sst>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9]h:mm\ AM/PM;@"/>
    <numFmt numFmtId="166" formatCode="[$-409]m/d/yy\ h:mm\ AM/PM;@"/>
    <numFmt numFmtId="167" formatCode="dd/mm/yyyy\ hh\ mm"/>
  </numFmts>
  <fonts count="4" x14ac:knownFonts="1">
    <font>
      <sz val="10"/>
      <color theme="1"/>
      <name val="Arial"/>
      <family val="2"/>
    </font>
    <font>
      <sz val="10"/>
      <color theme="1"/>
      <name val="Bosch Office Sans"/>
    </font>
    <font>
      <b/>
      <sz val="10"/>
      <color theme="1"/>
      <name val="Bosch Office Sans"/>
    </font>
    <font>
      <b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 wrapText="1"/>
    </xf>
    <xf numFmtId="2" fontId="1" fillId="2" borderId="1" xfId="0" applyNumberFormat="1" applyFont="1" applyFill="1" applyBorder="1" applyAlignment="1" applyProtection="1">
      <alignment horizontal="center" vertical="center"/>
    </xf>
    <xf numFmtId="164" fontId="0" fillId="0" borderId="0" xfId="0" applyNumberFormat="1" applyAlignment="1">
      <alignment horizontal="left"/>
    </xf>
    <xf numFmtId="0" fontId="2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6" fontId="1" fillId="2" borderId="1" xfId="0" applyNumberFormat="1" applyFont="1" applyFill="1" applyBorder="1" applyAlignment="1">
      <alignment horizontal="center" vertical="center"/>
    </xf>
    <xf numFmtId="0" fontId="0" fillId="0" borderId="0" xfId="0" pivotButton="1"/>
    <xf numFmtId="164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165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22" fontId="2" fillId="2" borderId="1" xfId="0" applyNumberFormat="1" applyFont="1" applyFill="1" applyBorder="1" applyAlignment="1">
      <alignment horizontal="center" vertical="center"/>
    </xf>
    <xf numFmtId="167" fontId="1" fillId="2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3" fillId="4" borderId="0" xfId="0" applyFont="1" applyFill="1"/>
    <xf numFmtId="20" fontId="0" fillId="0" borderId="0" xfId="0" applyNumberFormat="1"/>
    <xf numFmtId="22" fontId="0" fillId="0" borderId="0" xfId="0" applyNumberFormat="1"/>
    <xf numFmtId="0" fontId="3" fillId="3" borderId="0" xfId="0" applyFont="1" applyFill="1" applyAlignment="1">
      <alignment horizontal="center"/>
    </xf>
  </cellXfs>
  <cellStyles count="1">
    <cellStyle name="Normal" xfId="0" builtinId="0"/>
  </cellStyles>
  <dxfs count="16">
    <dxf>
      <font>
        <b/>
        <name val="Bosch Office Sans"/>
      </font>
      <numFmt numFmtId="27" formatCode="dd/mm/yy\ h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sch Office Sans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sch Office Sans"/>
        <scheme val="none"/>
      </font>
      <numFmt numFmtId="167" formatCode="dd/mm/yyyy\ hh\ 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osch Office Sans"/>
        <scheme val="none"/>
      </font>
      <numFmt numFmtId="166" formatCode="[$-409]m/d/yy\ h:mm\ AM/PM;@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Bosch Office Sans"/>
      </font>
      <numFmt numFmtId="168" formatCode="m/d/yyyy\ h:mm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[$-409]m/d/yy\ h:mm\ AM/PM;@"/>
    </dxf>
    <dxf>
      <font>
        <name val="Bosch Office Sans"/>
      </font>
      <numFmt numFmtId="2" formatCode="0.00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</dxf>
    <dxf>
      <numFmt numFmtId="165" formatCode="[$-409]h:mm\ AM/PM;@"/>
    </dxf>
    <dxf>
      <numFmt numFmtId="165" formatCode="[$-409]h:mm\ AM/PM;@"/>
    </dxf>
    <dxf>
      <numFmt numFmtId="164" formatCode="[$-F800]dddd\,\ mmmm\ dd\,\ yyyy"/>
      <alignment horizontal="left" vertical="bottom" textRotation="0" wrapText="0" indent="0" justifyLastLine="0" shrinkToFit="0" readingOrder="0"/>
    </dxf>
    <dxf>
      <numFmt numFmtId="164" formatCode="[$-F800]dddd\,\ mmmm\ dd\,\ yyyy"/>
      <alignment horizontal="left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882015</xdr:colOff>
      <xdr:row>0</xdr:row>
      <xdr:rowOff>45720</xdr:rowOff>
    </xdr:from>
    <xdr:to>
      <xdr:col>2</xdr:col>
      <xdr:colOff>1666875</xdr:colOff>
      <xdr:row>1</xdr:row>
      <xdr:rowOff>131445</xdr:rowOff>
    </xdr:to>
    <xdr:sp macro="[0]!StampIN" textlink="">
      <xdr:nvSpPr>
        <xdr:cNvPr id="2" name="Rectangle 1">
          <a:extLst>
            <a:ext uri="{FF2B5EF4-FFF2-40B4-BE49-F238E27FC236}">
              <a16:creationId xmlns:a16="http://schemas.microsoft.com/office/drawing/2014/main" id="{E39EDADA-9165-4065-8877-FE2EBE873F63}"/>
            </a:ext>
          </a:extLst>
        </xdr:cNvPr>
        <xdr:cNvSpPr/>
      </xdr:nvSpPr>
      <xdr:spPr>
        <a:xfrm>
          <a:off x="3272790" y="45720"/>
          <a:ext cx="784860" cy="24765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Stamp-In</a:t>
          </a:r>
        </a:p>
      </xdr:txBody>
    </xdr:sp>
    <xdr:clientData/>
  </xdr:twoCellAnchor>
  <xdr:twoCellAnchor>
    <xdr:from>
      <xdr:col>3</xdr:col>
      <xdr:colOff>163830</xdr:colOff>
      <xdr:row>0</xdr:row>
      <xdr:rowOff>57150</xdr:rowOff>
    </xdr:from>
    <xdr:to>
      <xdr:col>4</xdr:col>
      <xdr:colOff>266700</xdr:colOff>
      <xdr:row>1</xdr:row>
      <xdr:rowOff>142875</xdr:rowOff>
    </xdr:to>
    <xdr:sp macro="[0]!StampOur" textlink="">
      <xdr:nvSpPr>
        <xdr:cNvPr id="3" name="Rectangle 2">
          <a:extLst>
            <a:ext uri="{FF2B5EF4-FFF2-40B4-BE49-F238E27FC236}">
              <a16:creationId xmlns:a16="http://schemas.microsoft.com/office/drawing/2014/main" id="{4BEF5EFB-7538-4F34-A00E-688EA25940B4}"/>
            </a:ext>
          </a:extLst>
        </xdr:cNvPr>
        <xdr:cNvSpPr/>
      </xdr:nvSpPr>
      <xdr:spPr>
        <a:xfrm>
          <a:off x="4335780" y="57150"/>
          <a:ext cx="845820" cy="24765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Stamp-Out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yana Subramanian K S (SO/OPM31-IN)" refreshedDate="44573.65513564815" createdVersion="6" refreshedVersion="6" minRefreshableVersion="3" recordCount="1" xr:uid="{EFC7A4EF-E020-4FF9-AEB3-021B0DD9355D}">
  <cacheSource type="worksheet">
    <worksheetSource name="Table1"/>
  </cacheSource>
  <cacheFields count="18">
    <cacheField name="Shift Tiiming" numFmtId="164">
      <sharedItems/>
    </cacheField>
    <cacheField name="Date" numFmtId="164">
      <sharedItems containsSemiMixedTypes="0" containsNonDate="0" containsDate="1" containsString="0" minDate="2021-05-03T00:00:00" maxDate="2021-05-04T00:00:00" count="1">
        <d v="2021-05-03T00:00:00"/>
      </sharedItems>
    </cacheField>
    <cacheField name="Start Time" numFmtId="165">
      <sharedItems containsSemiMixedTypes="0" containsNonDate="0" containsDate="1" containsString="0" minDate="1899-12-30T13:01:00" maxDate="1899-12-30T13:01:00"/>
    </cacheField>
    <cacheField name="End Time" numFmtId="165">
      <sharedItems containsSemiMixedTypes="0" containsNonDate="0" containsDate="1" containsString="0" minDate="2022-01-12T14:43:15" maxDate="2022-01-12T14:43:15"/>
    </cacheField>
    <cacheField name="S.NO" numFmtId="0">
      <sharedItems containsSemiMixedTypes="0" containsString="0" containsNumber="1" containsInteger="1" minValue="1" maxValue="1"/>
    </cacheField>
    <cacheField name="Project/ Non Project" numFmtId="0">
      <sharedItems count="1">
        <s v="PSSDA"/>
      </sharedItems>
    </cacheField>
    <cacheField name="Task" numFmtId="0">
      <sharedItems/>
    </cacheField>
    <cacheField name="Sub task" numFmtId="0">
      <sharedItems/>
    </cacheField>
    <cacheField name="Task Detail" numFmtId="0">
      <sharedItems containsNonDate="0" containsString="0" containsBlank="1"/>
    </cacheField>
    <cacheField name="Number of Records" numFmtId="0">
      <sharedItems containsSemiMixedTypes="0" containsString="0" containsNumber="1" containsInteger="1" minValue="1" maxValue="1"/>
    </cacheField>
    <cacheField name="Duration" numFmtId="2">
      <sharedItems containsSemiMixedTypes="0" containsString="0" containsNumber="1" minValue="1.7041666666666666" maxValue="1.7041666666666666"/>
    </cacheField>
    <cacheField name="Request received Date + Time" numFmtId="166">
      <sharedItems containsSemiMixedTypes="0" containsNonDate="0" containsDate="1" containsString="0" minDate="2022-01-11T15:06:00" maxDate="2022-01-11T15:06:00"/>
    </cacheField>
    <cacheField name="Accepted Date &amp; Time" numFmtId="22">
      <sharedItems containsSemiMixedTypes="0" containsNonDate="0" containsDate="1" containsString="0" minDate="2022-01-11T15:06:00" maxDate="2022-01-11T15:06:00"/>
    </cacheField>
    <cacheField name="Commited Date &amp; Time" numFmtId="166">
      <sharedItems/>
    </cacheField>
    <cacheField name="Delivered Date &amp; Time" numFmtId="22">
      <sharedItems containsSemiMixedTypes="0" containsNonDate="0" containsDate="1" containsString="0" minDate="2022-01-12T14:43:00" maxDate="2022-01-12T14:43:00"/>
    </cacheField>
    <cacheField name="SLA Met?" numFmtId="0">
      <sharedItems/>
    </cacheField>
    <cacheField name="SLA Status" numFmtId="0">
      <sharedItems containsNonDate="0" containsString="0" containsBlank="1"/>
    </cacheField>
    <cacheField name="KPI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s v="Early Morning"/>
    <x v="0"/>
    <d v="1899-12-30T13:01:00"/>
    <d v="2022-01-12T14:43:15"/>
    <n v="1"/>
    <x v="0"/>
    <s v="Productive"/>
    <s v="Creation of PPAR PS/SDA"/>
    <m/>
    <n v="1"/>
    <n v="1.7041666666666666"/>
    <d v="2022-01-11T15:06:00"/>
    <d v="2022-01-11T15:06:00"/>
    <s v="14-01-22 15:06"/>
    <d v="2022-01-12T14:43:00"/>
    <s v="Check Task Name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C6B3FE-F4A9-4759-B7B9-0C7F32AC43A8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6" firstHeaderRow="1" firstDataRow="2" firstDataCol="1"/>
  <pivotFields count="18">
    <pivotField showAll="0"/>
    <pivotField axis="axisCol" numFmtId="164" showAll="0">
      <items count="2">
        <item x="0"/>
        <item t="default"/>
      </items>
    </pivotField>
    <pivotField numFmtId="165" showAll="0"/>
    <pivotField numFmtId="165"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dataField="1" numFmtId="2" showAll="0"/>
    <pivotField numFmtId="166" showAll="0"/>
    <pivotField numFmtId="22" showAll="0"/>
    <pivotField showAll="0"/>
    <pivotField numFmtId="22" showAll="0"/>
    <pivotField showAll="0"/>
    <pivotField showAll="0"/>
    <pivotField showAll="0"/>
  </pivotFields>
  <rowFields count="1">
    <field x="5"/>
  </rowFields>
  <rowItems count="2">
    <i>
      <x/>
    </i>
    <i t="grand">
      <x/>
    </i>
  </rowItems>
  <colFields count="1">
    <field x="1"/>
  </colFields>
  <colItems count="2">
    <i>
      <x/>
    </i>
    <i t="grand">
      <x/>
    </i>
  </colItems>
  <dataFields count="1">
    <dataField name="Sum of Duration" fld="10" baseField="0" baseItem="0" numFmtId="2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Table1" displayName="Table1" ref="B3:U4" totalsRowShown="0" headerRowDxfId="12">
  <autoFilter ref="B3:U4" xr:uid="{00000000-0009-0000-0100-000001000000}"/>
  <tableColumns count="20">
    <tableColumn id="20" xr3:uid="{F7630F68-7DE6-4F5A-9CD1-C3E006C272FE}" name="Shift Tiiming" dataDxfId="11"/>
    <tableColumn id="1" xr3:uid="{00000000-0010-0000-0500-000001000000}" name="Date" dataDxfId="10"/>
    <tableColumn id="2" xr3:uid="{00000000-0010-0000-0500-000002000000}" name="Start Time" dataDxfId="9"/>
    <tableColumn id="3" xr3:uid="{00000000-0010-0000-0500-000003000000}" name="End Time" dataDxfId="8"/>
    <tableColumn id="5" xr3:uid="{00000000-0010-0000-0500-000005000000}" name="S.NO"/>
    <tableColumn id="6" xr3:uid="{00000000-0010-0000-0500-000006000000}" name="Project/ Non Project"/>
    <tableColumn id="7" xr3:uid="{00000000-0010-0000-0500-000007000000}" name="Task" dataDxfId="7">
      <calculatedColumnFormula>IFERROR(VLOOKUP(Table1[[#This Row],[Sub task]],Setting!C:D,2,0),"_")</calculatedColumnFormula>
    </tableColumn>
    <tableColumn id="8" xr3:uid="{00000000-0010-0000-0500-000008000000}" name="Sub task"/>
    <tableColumn id="9" xr3:uid="{00000000-0010-0000-0500-000009000000}" name="Task Detail"/>
    <tableColumn id="12" xr3:uid="{6AA22B82-3BD8-46E3-946E-474C44E84BD3}" name="Additional Comments"/>
    <tableColumn id="16" xr3:uid="{00000000-0010-0000-0500-000010000000}" name="Number of Records"/>
    <tableColumn id="4" xr3:uid="{00000000-0010-0000-0500-000004000000}" name="Duration" dataDxfId="6">
      <calculatedColumnFormula>IF(E4=0,0,IF(D4,HOUR(E4-D4)+MINUTE(E4-D4)/60+SECOND(E4-D4)/3600,""))</calculatedColumnFormula>
    </tableColumn>
    <tableColumn id="10" xr3:uid="{00000000-0010-0000-0500-00000A000000}" name="Request received Date + Time" dataDxfId="5"/>
    <tableColumn id="19" xr3:uid="{C0D91993-DB5A-4656-B6B7-F699AA8E598B}" name="Accepted Date &amp; Time" dataDxfId="4">
      <calculatedColumnFormula>IF(N4&lt;&gt;"",N4,"-")</calculatedColumnFormula>
    </tableColumn>
    <tableColumn id="18" xr3:uid="{43E20203-C2BF-42C8-A722-D5059FEF4940}" name="Commited Date &amp; Time" dataDxfId="3">
      <calculatedColumnFormula>IF(L4=0,"-",IF(AND(N4&lt;&gt;"",I4&lt;&gt;""),IF(OR(I4=VLOOKUP(I4,Setting!C:C,1,0)),_xlfn.CONCAT(TEXT(WORKDAY.INTL(N4+VLOOKUP(I4,Setting!C:E,3,0),1,1),"dd-mm-yy")," ",TEXT(N4,"hh:mm"))),"Check Fields"))</calculatedColumnFormula>
    </tableColumn>
    <tableColumn id="17" xr3:uid="{E57BF94D-0D2D-43E3-AB24-197FCA30CE31}" name="Delivered Date &amp; Time" dataDxfId="2">
      <calculatedColumnFormula>CONCATENATE(Table1[[#This Row],[Date]]," ",Table1[[#This Row],[End Time]])</calculatedColumnFormula>
    </tableColumn>
    <tableColumn id="11" xr3:uid="{00000000-0010-0000-0500-00000B000000}" name="SLA Met?" dataDxfId="1">
      <calculatedColumnFormula>IFERROR(IF(AND(P4&lt;&gt;"",Q4&lt;&gt;"",N4&lt;&gt;"",L4=1),IF(Q4-P4&lt;=0,"Yes","No"),"-"),"Check Task Name")</calculatedColumnFormula>
    </tableColumn>
    <tableColumn id="13" xr3:uid="{00000000-0010-0000-0500-00000D000000}" name="SLA Status"/>
    <tableColumn id="14" xr3:uid="{00000000-0010-0000-0500-00000E000000}" name="KPI"/>
    <tableColumn id="15" xr3:uid="{6E33606C-CF1F-46B8-AE7D-1C8BB81EBB53}" name="Column1" dataDxfId="0">
      <calculatedColumnFormula array="1">slaCalculate(Table1[[#This Row],[Request received Date + Time]],Table1[[#This Row],[End Time]],Table1[[#This Row],[Project/ Non Project]],Table1[[#This Row],[Task]],Table1[[#This Row],[Sub task]])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31CF6-3340-43C4-A084-E8E16153FC84}">
  <sheetPr codeName="Sheet2"/>
  <dimension ref="A3:C6"/>
  <sheetViews>
    <sheetView workbookViewId="0">
      <selection activeCell="J12" sqref="J12"/>
    </sheetView>
  </sheetViews>
  <sheetFormatPr defaultRowHeight="12.75" x14ac:dyDescent="0.2"/>
  <cols>
    <col min="1" max="1" width="15.28515625" bestFit="1" customWidth="1"/>
    <col min="2" max="2" width="19.28515625" bestFit="1" customWidth="1"/>
    <col min="3" max="3" width="12" bestFit="1" customWidth="1"/>
  </cols>
  <sheetData>
    <row r="3" spans="1:3" x14ac:dyDescent="0.2">
      <c r="A3" s="7" t="s">
        <v>113</v>
      </c>
      <c r="B3" s="7" t="s">
        <v>110</v>
      </c>
    </row>
    <row r="4" spans="1:3" x14ac:dyDescent="0.2">
      <c r="A4" s="7" t="s">
        <v>112</v>
      </c>
      <c r="B4" s="8">
        <v>44319</v>
      </c>
      <c r="C4" s="8" t="s">
        <v>111</v>
      </c>
    </row>
    <row r="5" spans="1:3" x14ac:dyDescent="0.2">
      <c r="A5" s="9" t="s">
        <v>63</v>
      </c>
      <c r="B5" s="10">
        <v>1.7041666666666666</v>
      </c>
      <c r="C5" s="10">
        <v>1.7041666666666666</v>
      </c>
    </row>
    <row r="6" spans="1:3" x14ac:dyDescent="0.2">
      <c r="A6" s="9" t="s">
        <v>111</v>
      </c>
      <c r="B6" s="10">
        <v>1.7041666666666666</v>
      </c>
      <c r="C6" s="10">
        <v>1.7041666666666666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3:U4"/>
  <sheetViews>
    <sheetView showGridLines="0" tabSelected="1" topLeftCell="I1" workbookViewId="0">
      <selection activeCell="N5" sqref="N5"/>
    </sheetView>
  </sheetViews>
  <sheetFormatPr defaultRowHeight="12.75" x14ac:dyDescent="0.2"/>
  <cols>
    <col min="2" max="3" width="26.7109375" bestFit="1" customWidth="1"/>
    <col min="4" max="4" width="11.140625" customWidth="1"/>
    <col min="6" max="6" width="11.140625" customWidth="1"/>
    <col min="7" max="7" width="12.42578125" bestFit="1" customWidth="1"/>
    <col min="8" max="8" width="49.7109375" bestFit="1" customWidth="1"/>
    <col min="9" max="9" width="47.85546875" bestFit="1" customWidth="1"/>
    <col min="10" max="10" width="29.85546875" customWidth="1"/>
    <col min="11" max="11" width="12.140625" customWidth="1"/>
    <col min="12" max="12" width="11.140625" customWidth="1"/>
    <col min="13" max="13" width="17.28515625" bestFit="1" customWidth="1"/>
    <col min="14" max="16" width="16.28515625" bestFit="1" customWidth="1"/>
    <col min="17" max="17" width="16.140625" bestFit="1" customWidth="1"/>
    <col min="18" max="18" width="11.140625" bestFit="1" customWidth="1"/>
    <col min="21" max="21" width="14.85546875" bestFit="1" customWidth="1"/>
  </cols>
  <sheetData>
    <row r="3" spans="2:21" ht="38.25" x14ac:dyDescent="0.2">
      <c r="B3" s="1" t="s">
        <v>100</v>
      </c>
      <c r="C3" s="1" t="s">
        <v>0</v>
      </c>
      <c r="D3" s="1" t="s">
        <v>1</v>
      </c>
      <c r="E3" s="1" t="s">
        <v>2</v>
      </c>
      <c r="F3" s="1" t="s">
        <v>4</v>
      </c>
      <c r="G3" s="1" t="s">
        <v>62</v>
      </c>
      <c r="H3" s="1" t="s">
        <v>5</v>
      </c>
      <c r="I3" s="1" t="s">
        <v>8</v>
      </c>
      <c r="J3" s="1" t="s">
        <v>6</v>
      </c>
      <c r="K3" s="1" t="s">
        <v>117</v>
      </c>
      <c r="L3" s="1" t="s">
        <v>95</v>
      </c>
      <c r="M3" s="1" t="s">
        <v>3</v>
      </c>
      <c r="N3" s="1" t="s">
        <v>94</v>
      </c>
      <c r="O3" s="4" t="s">
        <v>96</v>
      </c>
      <c r="P3" s="4" t="s">
        <v>97</v>
      </c>
      <c r="Q3" s="4" t="s">
        <v>98</v>
      </c>
      <c r="R3" s="4" t="s">
        <v>99</v>
      </c>
      <c r="S3" s="1" t="s">
        <v>9</v>
      </c>
      <c r="T3" s="1" t="s">
        <v>10</v>
      </c>
      <c r="U3" s="1" t="s">
        <v>124</v>
      </c>
    </row>
    <row r="4" spans="2:21" x14ac:dyDescent="0.2">
      <c r="B4" s="3" t="s">
        <v>118</v>
      </c>
      <c r="C4" s="3">
        <v>44579</v>
      </c>
      <c r="D4" s="11">
        <v>44579.51803240741</v>
      </c>
      <c r="E4" s="11">
        <v>44579.518437500003</v>
      </c>
      <c r="F4" s="1"/>
      <c r="G4" s="1" t="s">
        <v>63</v>
      </c>
      <c r="H4" s="12" t="str">
        <f>IFERROR(VLOOKUP(Table1[[#This Row],[Sub task]],Setting!C:D,2,0),"_")</f>
        <v>Productive</v>
      </c>
      <c r="I4" s="1" t="s">
        <v>15</v>
      </c>
      <c r="J4" s="1"/>
      <c r="K4" s="1"/>
      <c r="L4" s="1">
        <v>1</v>
      </c>
      <c r="M4" s="2">
        <f>IF(E4=0,0,IF(D4,HOUR(E4-D4)+MINUTE(E4-D4)/60+SECOND(E4-D4)/3600,""))</f>
        <v>9.7222222222222224E-3</v>
      </c>
      <c r="N4" s="13">
        <v>44579.416666666664</v>
      </c>
      <c r="O4" s="14">
        <f>IF(N4&lt;&gt;"",N4,"-")</f>
        <v>44579.416666666664</v>
      </c>
      <c r="P4" s="6" t="str">
        <f>IF(L4=0,"-",IF(AND(N4&lt;&gt;"",I4&lt;&gt;""),IF(OR(I4=VLOOKUP(I4,Setting!C:C,1,0)),_xlfn.CONCAT(TEXT(WORKDAY.INTL(N4+VLOOKUP(I4,Setting!C:E,3,0),1,1),"dd-mm-yy")," ",TEXT(N4,"hh:mm"))),"Check Fields"))</f>
        <v>08-03-22 10:00</v>
      </c>
      <c r="Q4" s="15" t="str">
        <f>CONCATENATE(Table1[[#This Row],[Date]]," ",Table1[[#This Row],[End Time]])</f>
        <v>44579 44579.5184375</v>
      </c>
      <c r="R4" s="5" t="str">
        <f>IFERROR(IF(AND(P4&lt;&gt;"",Q4&lt;&gt;"",N4&lt;&gt;"",L4=1),IF(Q4-P4&lt;=0,"Yes","No"),"-"),"Check Task Name")</f>
        <v>Check Task Name</v>
      </c>
      <c r="S4" s="1"/>
      <c r="T4" s="1"/>
      <c r="U4" s="14" cm="1">
        <f t="array" ref="U4">slaCalculate(Table1[[#This Row],[Request received Date + Time]],Table1[[#This Row],[End Time]],Table1[[#This Row],[Project/ Non Project]],Table1[[#This Row],[Task]],Table1[[#This Row],[Sub task]])</f>
        <v>44586.541666666664</v>
      </c>
    </row>
  </sheetData>
  <conditionalFormatting sqref="R4">
    <cfRule type="containsText" dxfId="14" priority="1" operator="containsText" text="Yes">
      <formula>NOT(ISERROR(SEARCH("Yes",R4)))</formula>
    </cfRule>
    <cfRule type="containsText" dxfId="13" priority="2" operator="containsText" text="No">
      <formula>NOT(ISERROR(SEARCH("No",R4)))</formula>
    </cfRule>
  </conditionalFormatting>
  <dataValidations count="1">
    <dataValidation type="list" allowBlank="1" showInputMessage="1" showErrorMessage="1" sqref="I4" xr:uid="{00000000-0002-0000-0600-000000000000}">
      <formula1>INDIRECT(G4)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1000000}">
          <x14:formula1>
            <xm:f>Setting!$T$4:$T$29</xm:f>
          </x14:formula1>
          <xm:sqref>G4</xm:sqref>
        </x14:dataValidation>
        <x14:dataValidation type="list" allowBlank="1" showInputMessage="1" showErrorMessage="1" xr:uid="{B414003F-123B-4B22-AA33-F10E2EA275C0}">
          <x14:formula1>
            <xm:f>Setting!$L$3:$L$6</xm:f>
          </x14:formula1>
          <xm:sqref>B4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642CC-2FB4-4879-B4E8-1E066241EEEE}">
  <sheetPr codeName="Sheet1"/>
  <dimension ref="A2:C2"/>
  <sheetViews>
    <sheetView workbookViewId="0">
      <selection activeCell="D3" sqref="D3"/>
    </sheetView>
  </sheetViews>
  <sheetFormatPr defaultRowHeight="12.75" x14ac:dyDescent="0.2"/>
  <cols>
    <col min="2" max="2" width="10.5703125" bestFit="1" customWidth="1"/>
    <col min="3" max="3" width="10.7109375" bestFit="1" customWidth="1"/>
  </cols>
  <sheetData>
    <row r="2" spans="1:3" x14ac:dyDescent="0.2">
      <c r="A2" t="s">
        <v>0</v>
      </c>
      <c r="B2" t="s">
        <v>114</v>
      </c>
      <c r="C2" t="s">
        <v>115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T75"/>
  <sheetViews>
    <sheetView workbookViewId="0">
      <selection activeCell="I4" sqref="I4"/>
    </sheetView>
  </sheetViews>
  <sheetFormatPr defaultRowHeight="12.75" x14ac:dyDescent="0.2"/>
  <cols>
    <col min="2" max="2" width="10.85546875" bestFit="1" customWidth="1"/>
    <col min="3" max="3" width="30.140625" bestFit="1" customWidth="1"/>
    <col min="4" max="4" width="12.85546875" bestFit="1" customWidth="1"/>
    <col min="6" max="6" width="15.28515625" bestFit="1" customWidth="1"/>
    <col min="7" max="7" width="14.7109375" bestFit="1" customWidth="1"/>
    <col min="8" max="8" width="12.42578125" customWidth="1"/>
    <col min="9" max="9" width="13.5703125" customWidth="1"/>
    <col min="10" max="12" width="13.42578125" bestFit="1" customWidth="1"/>
  </cols>
  <sheetData>
    <row r="1" spans="2:20" x14ac:dyDescent="0.2">
      <c r="H1" s="20" t="s">
        <v>123</v>
      </c>
      <c r="I1" s="20"/>
    </row>
    <row r="2" spans="2:20" x14ac:dyDescent="0.2">
      <c r="B2" s="16" t="s">
        <v>11</v>
      </c>
      <c r="C2" s="16" t="s">
        <v>7</v>
      </c>
      <c r="D2" s="16" t="s">
        <v>5</v>
      </c>
      <c r="E2" s="16" t="s">
        <v>12</v>
      </c>
      <c r="F2" s="16" t="s">
        <v>64</v>
      </c>
      <c r="G2" s="16" t="s">
        <v>116</v>
      </c>
      <c r="H2" s="17" t="s">
        <v>121</v>
      </c>
      <c r="I2" s="17" t="s">
        <v>122</v>
      </c>
    </row>
    <row r="3" spans="2:20" x14ac:dyDescent="0.2">
      <c r="B3" t="s">
        <v>63</v>
      </c>
      <c r="C3" t="s">
        <v>15</v>
      </c>
      <c r="D3" t="s">
        <v>22</v>
      </c>
      <c r="E3">
        <v>48</v>
      </c>
      <c r="F3" t="s">
        <v>119</v>
      </c>
      <c r="G3">
        <v>5</v>
      </c>
      <c r="H3" s="18">
        <v>0.375</v>
      </c>
      <c r="I3" s="18">
        <v>0.75</v>
      </c>
      <c r="L3" t="s">
        <v>101</v>
      </c>
      <c r="M3">
        <v>250</v>
      </c>
      <c r="N3">
        <v>6.3</v>
      </c>
      <c r="O3">
        <v>4</v>
      </c>
    </row>
    <row r="4" spans="2:20" x14ac:dyDescent="0.2">
      <c r="B4" t="s">
        <v>63</v>
      </c>
      <c r="C4" t="s">
        <v>16</v>
      </c>
      <c r="D4" t="s">
        <v>22</v>
      </c>
      <c r="E4">
        <v>48</v>
      </c>
      <c r="F4" t="s">
        <v>119</v>
      </c>
      <c r="L4" t="s">
        <v>102</v>
      </c>
      <c r="M4">
        <v>250</v>
      </c>
      <c r="N4">
        <v>9</v>
      </c>
      <c r="O4">
        <v>5.3</v>
      </c>
      <c r="R4" t="s">
        <v>63</v>
      </c>
      <c r="T4" t="s">
        <v>63</v>
      </c>
    </row>
    <row r="5" spans="2:20" x14ac:dyDescent="0.2">
      <c r="B5" t="s">
        <v>63</v>
      </c>
      <c r="C5" t="s">
        <v>13</v>
      </c>
      <c r="D5" t="s">
        <v>22</v>
      </c>
      <c r="L5" t="s">
        <v>103</v>
      </c>
      <c r="M5">
        <v>250</v>
      </c>
      <c r="N5">
        <v>12.3</v>
      </c>
      <c r="O5">
        <v>10</v>
      </c>
      <c r="R5" t="s">
        <v>65</v>
      </c>
      <c r="T5" t="s">
        <v>65</v>
      </c>
    </row>
    <row r="6" spans="2:20" x14ac:dyDescent="0.2">
      <c r="B6" t="s">
        <v>63</v>
      </c>
      <c r="C6" t="s">
        <v>14</v>
      </c>
      <c r="D6" t="s">
        <v>23</v>
      </c>
      <c r="L6" t="s">
        <v>104</v>
      </c>
      <c r="M6">
        <v>400</v>
      </c>
      <c r="R6" t="s">
        <v>66</v>
      </c>
      <c r="T6" t="s">
        <v>66</v>
      </c>
    </row>
    <row r="7" spans="2:20" x14ac:dyDescent="0.2">
      <c r="B7" t="s">
        <v>63</v>
      </c>
      <c r="C7" t="s">
        <v>17</v>
      </c>
      <c r="D7" t="s">
        <v>22</v>
      </c>
      <c r="L7" t="s">
        <v>120</v>
      </c>
      <c r="N7">
        <v>4</v>
      </c>
      <c r="O7">
        <v>3</v>
      </c>
      <c r="R7" t="s">
        <v>35</v>
      </c>
      <c r="T7" t="s">
        <v>67</v>
      </c>
    </row>
    <row r="8" spans="2:20" x14ac:dyDescent="0.2">
      <c r="B8" t="s">
        <v>63</v>
      </c>
      <c r="C8" t="s">
        <v>18</v>
      </c>
      <c r="D8" t="s">
        <v>23</v>
      </c>
      <c r="R8" t="s">
        <v>67</v>
      </c>
      <c r="T8" t="s">
        <v>68</v>
      </c>
    </row>
    <row r="9" spans="2:20" x14ac:dyDescent="0.2">
      <c r="B9" t="s">
        <v>63</v>
      </c>
      <c r="C9" t="s">
        <v>19</v>
      </c>
      <c r="D9" t="s">
        <v>23</v>
      </c>
      <c r="R9" t="s">
        <v>68</v>
      </c>
      <c r="T9" t="s">
        <v>105</v>
      </c>
    </row>
    <row r="10" spans="2:20" x14ac:dyDescent="0.2">
      <c r="B10" t="s">
        <v>63</v>
      </c>
      <c r="C10" t="s">
        <v>20</v>
      </c>
      <c r="D10" t="s">
        <v>23</v>
      </c>
      <c r="R10" t="s">
        <v>69</v>
      </c>
    </row>
    <row r="11" spans="2:20" x14ac:dyDescent="0.2">
      <c r="B11" t="s">
        <v>63</v>
      </c>
      <c r="C11" t="s">
        <v>21</v>
      </c>
      <c r="D11" t="s">
        <v>22</v>
      </c>
      <c r="R11" t="s">
        <v>81</v>
      </c>
    </row>
    <row r="12" spans="2:20" x14ac:dyDescent="0.2">
      <c r="B12" t="s">
        <v>65</v>
      </c>
      <c r="C12" t="s">
        <v>24</v>
      </c>
      <c r="D12" t="s">
        <v>22</v>
      </c>
      <c r="E12">
        <v>48</v>
      </c>
      <c r="F12" t="s">
        <v>119</v>
      </c>
      <c r="R12" t="s">
        <v>105</v>
      </c>
    </row>
    <row r="13" spans="2:20" x14ac:dyDescent="0.2">
      <c r="B13" t="s">
        <v>65</v>
      </c>
      <c r="C13" t="s">
        <v>25</v>
      </c>
      <c r="D13" t="s">
        <v>22</v>
      </c>
      <c r="E13">
        <v>48</v>
      </c>
      <c r="F13" t="s">
        <v>119</v>
      </c>
    </row>
    <row r="14" spans="2:20" x14ac:dyDescent="0.2">
      <c r="B14" t="s">
        <v>65</v>
      </c>
      <c r="C14" t="s">
        <v>26</v>
      </c>
      <c r="D14" t="s">
        <v>22</v>
      </c>
      <c r="E14">
        <v>48</v>
      </c>
      <c r="F14" t="s">
        <v>119</v>
      </c>
      <c r="L14">
        <f>1/24</f>
        <v>4.1666666666666664E-2</v>
      </c>
    </row>
    <row r="15" spans="2:20" x14ac:dyDescent="0.2">
      <c r="B15" t="s">
        <v>65</v>
      </c>
      <c r="C15" t="s">
        <v>27</v>
      </c>
      <c r="D15" t="s">
        <v>22</v>
      </c>
      <c r="E15">
        <v>48</v>
      </c>
      <c r="F15" t="s">
        <v>119</v>
      </c>
    </row>
    <row r="16" spans="2:20" x14ac:dyDescent="0.2">
      <c r="B16" t="s">
        <v>65</v>
      </c>
      <c r="C16" t="s">
        <v>28</v>
      </c>
      <c r="D16" t="s">
        <v>22</v>
      </c>
    </row>
    <row r="17" spans="2:12" x14ac:dyDescent="0.2">
      <c r="B17" t="s">
        <v>65</v>
      </c>
      <c r="C17" t="s">
        <v>29</v>
      </c>
      <c r="D17" t="s">
        <v>23</v>
      </c>
    </row>
    <row r="18" spans="2:12" x14ac:dyDescent="0.2">
      <c r="B18" t="s">
        <v>65</v>
      </c>
      <c r="C18" t="s">
        <v>30</v>
      </c>
      <c r="D18" t="s">
        <v>22</v>
      </c>
    </row>
    <row r="19" spans="2:12" x14ac:dyDescent="0.2">
      <c r="B19" t="s">
        <v>65</v>
      </c>
      <c r="C19" t="s">
        <v>31</v>
      </c>
      <c r="D19" t="s">
        <v>23</v>
      </c>
    </row>
    <row r="20" spans="2:12" x14ac:dyDescent="0.2">
      <c r="B20" t="s">
        <v>65</v>
      </c>
      <c r="C20" t="s">
        <v>32</v>
      </c>
      <c r="D20" t="s">
        <v>23</v>
      </c>
    </row>
    <row r="21" spans="2:12" x14ac:dyDescent="0.2">
      <c r="B21" t="s">
        <v>65</v>
      </c>
      <c r="C21" t="s">
        <v>33</v>
      </c>
      <c r="D21" t="s">
        <v>23</v>
      </c>
    </row>
    <row r="22" spans="2:12" x14ac:dyDescent="0.2">
      <c r="B22" t="s">
        <v>65</v>
      </c>
      <c r="C22" t="s">
        <v>34</v>
      </c>
      <c r="D22" t="s">
        <v>22</v>
      </c>
    </row>
    <row r="23" spans="2:12" x14ac:dyDescent="0.2">
      <c r="B23" t="s">
        <v>66</v>
      </c>
      <c r="C23" t="s">
        <v>36</v>
      </c>
      <c r="D23" t="s">
        <v>22</v>
      </c>
    </row>
    <row r="24" spans="2:12" x14ac:dyDescent="0.2">
      <c r="B24" t="s">
        <v>66</v>
      </c>
      <c r="C24" t="s">
        <v>37</v>
      </c>
      <c r="D24" t="s">
        <v>22</v>
      </c>
    </row>
    <row r="25" spans="2:12" x14ac:dyDescent="0.2">
      <c r="B25" t="s">
        <v>66</v>
      </c>
      <c r="C25" t="s">
        <v>38</v>
      </c>
      <c r="D25" t="s">
        <v>22</v>
      </c>
      <c r="J25" s="19">
        <v>44585.821527777778</v>
      </c>
      <c r="K25" s="19">
        <v>44584.821527777778</v>
      </c>
      <c r="L25" s="10">
        <f>J25</f>
        <v>44585.821527777778</v>
      </c>
    </row>
    <row r="26" spans="2:12" x14ac:dyDescent="0.2">
      <c r="B26" t="s">
        <v>66</v>
      </c>
      <c r="C26" t="s">
        <v>39</v>
      </c>
      <c r="D26" t="s">
        <v>22</v>
      </c>
    </row>
    <row r="27" spans="2:12" x14ac:dyDescent="0.2">
      <c r="B27" t="s">
        <v>66</v>
      </c>
      <c r="C27" t="s">
        <v>40</v>
      </c>
      <c r="D27" t="s">
        <v>22</v>
      </c>
    </row>
    <row r="28" spans="2:12" x14ac:dyDescent="0.2">
      <c r="B28" t="s">
        <v>66</v>
      </c>
      <c r="C28" t="s">
        <v>41</v>
      </c>
      <c r="D28" t="s">
        <v>23</v>
      </c>
    </row>
    <row r="29" spans="2:12" x14ac:dyDescent="0.2">
      <c r="B29" t="s">
        <v>66</v>
      </c>
      <c r="C29" t="s">
        <v>42</v>
      </c>
      <c r="D29" t="s">
        <v>22</v>
      </c>
    </row>
    <row r="30" spans="2:12" x14ac:dyDescent="0.2">
      <c r="B30" t="s">
        <v>66</v>
      </c>
      <c r="C30" t="s">
        <v>43</v>
      </c>
      <c r="D30" t="s">
        <v>23</v>
      </c>
    </row>
    <row r="31" spans="2:12" x14ac:dyDescent="0.2">
      <c r="B31" t="s">
        <v>66</v>
      </c>
      <c r="C31" t="s">
        <v>44</v>
      </c>
      <c r="D31" t="s">
        <v>23</v>
      </c>
    </row>
    <row r="32" spans="2:12" x14ac:dyDescent="0.2">
      <c r="B32" t="s">
        <v>66</v>
      </c>
      <c r="C32" t="s">
        <v>45</v>
      </c>
      <c r="D32" t="s">
        <v>23</v>
      </c>
    </row>
    <row r="33" spans="2:4" x14ac:dyDescent="0.2">
      <c r="B33" t="s">
        <v>35</v>
      </c>
      <c r="C33" t="s">
        <v>46</v>
      </c>
      <c r="D33" t="s">
        <v>22</v>
      </c>
    </row>
    <row r="34" spans="2:4" x14ac:dyDescent="0.2">
      <c r="B34" t="s">
        <v>67</v>
      </c>
      <c r="C34" t="s">
        <v>47</v>
      </c>
      <c r="D34" t="s">
        <v>22</v>
      </c>
    </row>
    <row r="35" spans="2:4" x14ac:dyDescent="0.2">
      <c r="B35" t="s">
        <v>67</v>
      </c>
      <c r="C35" t="s">
        <v>48</v>
      </c>
      <c r="D35" t="s">
        <v>22</v>
      </c>
    </row>
    <row r="36" spans="2:4" x14ac:dyDescent="0.2">
      <c r="B36" t="s">
        <v>67</v>
      </c>
      <c r="C36" t="s">
        <v>49</v>
      </c>
      <c r="D36" t="s">
        <v>22</v>
      </c>
    </row>
    <row r="37" spans="2:4" x14ac:dyDescent="0.2">
      <c r="B37" t="s">
        <v>67</v>
      </c>
      <c r="C37" t="s">
        <v>50</v>
      </c>
      <c r="D37" t="s">
        <v>22</v>
      </c>
    </row>
    <row r="38" spans="2:4" x14ac:dyDescent="0.2">
      <c r="B38" t="s">
        <v>67</v>
      </c>
      <c r="C38" t="s">
        <v>51</v>
      </c>
      <c r="D38" t="s">
        <v>22</v>
      </c>
    </row>
    <row r="39" spans="2:4" x14ac:dyDescent="0.2">
      <c r="B39" t="s">
        <v>67</v>
      </c>
      <c r="C39" t="s">
        <v>52</v>
      </c>
      <c r="D39" t="s">
        <v>23</v>
      </c>
    </row>
    <row r="40" spans="2:4" x14ac:dyDescent="0.2">
      <c r="B40" t="s">
        <v>67</v>
      </c>
      <c r="C40" t="s">
        <v>53</v>
      </c>
      <c r="D40" t="s">
        <v>22</v>
      </c>
    </row>
    <row r="41" spans="2:4" x14ac:dyDescent="0.2">
      <c r="B41" t="s">
        <v>67</v>
      </c>
      <c r="C41" t="s">
        <v>54</v>
      </c>
      <c r="D41" t="s">
        <v>23</v>
      </c>
    </row>
    <row r="42" spans="2:4" x14ac:dyDescent="0.2">
      <c r="B42" t="s">
        <v>67</v>
      </c>
      <c r="C42" t="s">
        <v>55</v>
      </c>
      <c r="D42" t="s">
        <v>23</v>
      </c>
    </row>
    <row r="43" spans="2:4" x14ac:dyDescent="0.2">
      <c r="B43" t="s">
        <v>67</v>
      </c>
      <c r="C43" t="s">
        <v>56</v>
      </c>
      <c r="D43" t="s">
        <v>23</v>
      </c>
    </row>
    <row r="44" spans="2:4" x14ac:dyDescent="0.2">
      <c r="B44" t="s">
        <v>67</v>
      </c>
      <c r="C44" t="s">
        <v>57</v>
      </c>
      <c r="D44" t="s">
        <v>22</v>
      </c>
    </row>
    <row r="45" spans="2:4" x14ac:dyDescent="0.2">
      <c r="B45" t="s">
        <v>68</v>
      </c>
      <c r="C45" t="s">
        <v>58</v>
      </c>
      <c r="D45" t="s">
        <v>23</v>
      </c>
    </row>
    <row r="46" spans="2:4" x14ac:dyDescent="0.2">
      <c r="B46" t="s">
        <v>68</v>
      </c>
      <c r="C46" t="s">
        <v>59</v>
      </c>
      <c r="D46" t="s">
        <v>23</v>
      </c>
    </row>
    <row r="47" spans="2:4" x14ac:dyDescent="0.2">
      <c r="B47" t="s">
        <v>68</v>
      </c>
      <c r="C47" t="s">
        <v>60</v>
      </c>
      <c r="D47" t="s">
        <v>23</v>
      </c>
    </row>
    <row r="48" spans="2:4" x14ac:dyDescent="0.2">
      <c r="B48" t="s">
        <v>68</v>
      </c>
      <c r="C48" t="s">
        <v>61</v>
      </c>
      <c r="D48" t="s">
        <v>23</v>
      </c>
    </row>
    <row r="49" spans="2:4" x14ac:dyDescent="0.2">
      <c r="B49" t="s">
        <v>68</v>
      </c>
      <c r="C49" t="s">
        <v>93</v>
      </c>
      <c r="D49" t="s">
        <v>23</v>
      </c>
    </row>
    <row r="50" spans="2:4" x14ac:dyDescent="0.2">
      <c r="B50" t="s">
        <v>69</v>
      </c>
      <c r="C50" t="s">
        <v>70</v>
      </c>
      <c r="D50" t="s">
        <v>22</v>
      </c>
    </row>
    <row r="51" spans="2:4" x14ac:dyDescent="0.2">
      <c r="B51" t="s">
        <v>69</v>
      </c>
      <c r="C51" t="s">
        <v>71</v>
      </c>
      <c r="D51" t="s">
        <v>22</v>
      </c>
    </row>
    <row r="52" spans="2:4" x14ac:dyDescent="0.2">
      <c r="B52" t="s">
        <v>69</v>
      </c>
      <c r="C52" t="s">
        <v>72</v>
      </c>
      <c r="D52" t="s">
        <v>22</v>
      </c>
    </row>
    <row r="53" spans="2:4" x14ac:dyDescent="0.2">
      <c r="B53" t="s">
        <v>69</v>
      </c>
      <c r="C53" t="s">
        <v>73</v>
      </c>
      <c r="D53" t="s">
        <v>22</v>
      </c>
    </row>
    <row r="54" spans="2:4" x14ac:dyDescent="0.2">
      <c r="B54" t="s">
        <v>69</v>
      </c>
      <c r="C54" t="s">
        <v>74</v>
      </c>
      <c r="D54" t="s">
        <v>22</v>
      </c>
    </row>
    <row r="55" spans="2:4" x14ac:dyDescent="0.2">
      <c r="B55" t="s">
        <v>69</v>
      </c>
      <c r="C55" t="s">
        <v>75</v>
      </c>
      <c r="D55" t="s">
        <v>23</v>
      </c>
    </row>
    <row r="56" spans="2:4" x14ac:dyDescent="0.2">
      <c r="B56" t="s">
        <v>69</v>
      </c>
      <c r="C56" t="s">
        <v>76</v>
      </c>
      <c r="D56" t="s">
        <v>22</v>
      </c>
    </row>
    <row r="57" spans="2:4" x14ac:dyDescent="0.2">
      <c r="B57" t="s">
        <v>69</v>
      </c>
      <c r="C57" t="s">
        <v>77</v>
      </c>
      <c r="D57" t="s">
        <v>23</v>
      </c>
    </row>
    <row r="58" spans="2:4" x14ac:dyDescent="0.2">
      <c r="B58" t="s">
        <v>69</v>
      </c>
      <c r="C58" t="s">
        <v>78</v>
      </c>
      <c r="D58" t="s">
        <v>23</v>
      </c>
    </row>
    <row r="59" spans="2:4" x14ac:dyDescent="0.2">
      <c r="B59" t="s">
        <v>69</v>
      </c>
      <c r="C59" t="s">
        <v>79</v>
      </c>
      <c r="D59" t="s">
        <v>23</v>
      </c>
    </row>
    <row r="60" spans="2:4" x14ac:dyDescent="0.2">
      <c r="B60" t="s">
        <v>69</v>
      </c>
      <c r="C60" t="s">
        <v>80</v>
      </c>
      <c r="D60" t="s">
        <v>22</v>
      </c>
    </row>
    <row r="61" spans="2:4" x14ac:dyDescent="0.2">
      <c r="B61" t="s">
        <v>81</v>
      </c>
      <c r="C61" t="s">
        <v>82</v>
      </c>
      <c r="D61" t="s">
        <v>22</v>
      </c>
    </row>
    <row r="62" spans="2:4" x14ac:dyDescent="0.2">
      <c r="B62" t="s">
        <v>81</v>
      </c>
      <c r="C62" t="s">
        <v>83</v>
      </c>
      <c r="D62" t="s">
        <v>22</v>
      </c>
    </row>
    <row r="63" spans="2:4" x14ac:dyDescent="0.2">
      <c r="B63" t="s">
        <v>81</v>
      </c>
      <c r="C63" t="s">
        <v>84</v>
      </c>
      <c r="D63" t="s">
        <v>22</v>
      </c>
    </row>
    <row r="64" spans="2:4" x14ac:dyDescent="0.2">
      <c r="B64" t="s">
        <v>81</v>
      </c>
      <c r="C64" t="s">
        <v>85</v>
      </c>
      <c r="D64" t="s">
        <v>22</v>
      </c>
    </row>
    <row r="65" spans="2:4" x14ac:dyDescent="0.2">
      <c r="B65" t="s">
        <v>81</v>
      </c>
      <c r="C65" t="s">
        <v>86</v>
      </c>
      <c r="D65" t="s">
        <v>22</v>
      </c>
    </row>
    <row r="66" spans="2:4" x14ac:dyDescent="0.2">
      <c r="B66" t="s">
        <v>81</v>
      </c>
      <c r="C66" t="s">
        <v>87</v>
      </c>
      <c r="D66" t="s">
        <v>23</v>
      </c>
    </row>
    <row r="67" spans="2:4" x14ac:dyDescent="0.2">
      <c r="B67" t="s">
        <v>81</v>
      </c>
      <c r="C67" t="s">
        <v>88</v>
      </c>
      <c r="D67" t="s">
        <v>22</v>
      </c>
    </row>
    <row r="68" spans="2:4" x14ac:dyDescent="0.2">
      <c r="B68" t="s">
        <v>81</v>
      </c>
      <c r="C68" t="s">
        <v>89</v>
      </c>
      <c r="D68" t="s">
        <v>23</v>
      </c>
    </row>
    <row r="69" spans="2:4" x14ac:dyDescent="0.2">
      <c r="B69" t="s">
        <v>81</v>
      </c>
      <c r="C69" t="s">
        <v>90</v>
      </c>
      <c r="D69" t="s">
        <v>23</v>
      </c>
    </row>
    <row r="70" spans="2:4" x14ac:dyDescent="0.2">
      <c r="B70" t="s">
        <v>81</v>
      </c>
      <c r="C70" t="s">
        <v>91</v>
      </c>
      <c r="D70" t="s">
        <v>23</v>
      </c>
    </row>
    <row r="71" spans="2:4" x14ac:dyDescent="0.2">
      <c r="B71" t="s">
        <v>81</v>
      </c>
      <c r="C71" t="s">
        <v>92</v>
      </c>
      <c r="D71" t="s">
        <v>22</v>
      </c>
    </row>
    <row r="72" spans="2:4" x14ac:dyDescent="0.2">
      <c r="B72" t="s">
        <v>105</v>
      </c>
      <c r="C72" t="s">
        <v>106</v>
      </c>
    </row>
    <row r="73" spans="2:4" x14ac:dyDescent="0.2">
      <c r="B73" t="s">
        <v>105</v>
      </c>
      <c r="C73" t="s">
        <v>107</v>
      </c>
    </row>
    <row r="74" spans="2:4" x14ac:dyDescent="0.2">
      <c r="B74" t="s">
        <v>105</v>
      </c>
      <c r="C74" t="s">
        <v>108</v>
      </c>
    </row>
    <row r="75" spans="2:4" x14ac:dyDescent="0.2">
      <c r="B75" t="s">
        <v>105</v>
      </c>
      <c r="C75" t="s">
        <v>109</v>
      </c>
    </row>
  </sheetData>
  <mergeCells count="1">
    <mergeCell ref="H1:I1"/>
  </mergeCells>
  <dataValidations count="1">
    <dataValidation type="list" allowBlank="1" showInputMessage="1" showErrorMessage="1" sqref="F3:F150" xr:uid="{B167A647-8887-4209-8259-98DF5A79565E}">
      <formula1>"hours,minutes,days"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Sheet2</vt:lpstr>
      <vt:lpstr>Tracker</vt:lpstr>
      <vt:lpstr>Daily Attendance</vt:lpstr>
      <vt:lpstr>Setting</vt:lpstr>
      <vt:lpstr>Leave</vt:lpstr>
      <vt:lpstr>NonProject</vt:lpstr>
      <vt:lpstr>PSGIEIC</vt:lpstr>
      <vt:lpstr>PSGIEPM</vt:lpstr>
      <vt:lpstr>PSSDA</vt:lpstr>
      <vt:lpstr>PSSDETR</vt:lpstr>
      <vt:lpstr>XCDAECV</vt:lpstr>
      <vt:lpstr>XCDAEDM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Kalyana Subramanian K S (SO/OPM32-IN)</dc:creator>
  <cp:lastModifiedBy>Wilson Martin Wesley (SO/OPM313-IN)</cp:lastModifiedBy>
  <dcterms:created xsi:type="dcterms:W3CDTF">2021-03-08T06:00:05Z</dcterms:created>
  <dcterms:modified xsi:type="dcterms:W3CDTF">2022-01-25T15:35:23Z</dcterms:modified>
</cp:coreProperties>
</file>